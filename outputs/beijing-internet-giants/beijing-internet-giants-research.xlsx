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0e40477d6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ecc78ee3ee33424f"/>
    <x:sheet xmlns:r="http://schemas.openxmlformats.org/officeDocument/2006/relationships" name="公司清单" sheetId="2" r:id="Red29128915ab48ec"/>
    <x:sheet xmlns:r="http://schemas.openxmlformats.org/officeDocument/2006/relationships" name="说明" sheetId="3" r:id="R408a9d08284947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"/>
      <x:name val="Carlito"/>
    </x:font>
    <x:font>
      <x:sz val="10"/>
      <x:color rgb="334155"/>
      <x:name val="Carlito"/>
    </x:font>
    <x:font>
      <x:b/>
      <x:sz val="14"/>
      <x:color rgb="0F172A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sz val="10"/>
      <x:color rgb="475569"/>
      <x:name val="Carlito"/>
    </x:font>
    <x:font>
      <x:b/>
      <x:sz val="10"/>
      <x:color rgb="FFFFFF"/>
      <x:name val="Carlito"/>
    </x:font>
    <x:font>
      <x:sz val="10"/>
      <x:name val="Carlito"/>
    </x:font>
    <x:font>
      <x:b/>
      <x:sz val="16"/>
      <x:color rgb="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DBEAFE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  <x:fill>
      <x:patternFill patternType="solid">
        <x:fgColor rgb="E0E7FF"/>
      </x:patternFill>
    </x:fill>
    <x:fill>
      <x:patternFill patternType="solid">
        <x:fgColor rgb="1E293B"/>
      </x:patternFill>
    </x:fill>
    <x:fill>
      <x:patternFill patternType="solid">
        <x:fgColor rgb="F8FAFC"/>
      </x:patternFill>
    </x:fill>
    <x:fill>
      <x:patternFill patternType="solid">
        <x:fgColor rgb="FFFFFF"/>
      </x:patternFill>
    </x:fill>
  </x:fills>
  <x:borders count="18">
    <x:border/>
    <x:border/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</x:borders>
  <x:cellStyleXfs count="1">
    <x:xf numFmtId="0" fontId="0" fillId="0" borderId="0"/>
  </x:cellStyleXfs>
  <x:cellXfs count="137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5" fillId="9" borderId="1" xfId="0" applyNumberFormat="1" applyFont="1" applyFill="1" applyBorder="1" applyAlignment="1">
      <x:alignment horizont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0" fillId="10" borderId="2" xfId="0" applyNumberFormat="1" applyFont="1" applyFill="1" applyBorder="1"/>
    <x:xf numFmtId="0" fontId="0" fillId="10" borderId="3" xfId="0" applyNumberFormat="1" applyFont="1" applyFill="1" applyBorder="1"/>
    <x:xf numFmtId="0" fontId="0" fillId="10" borderId="4" xfId="0" applyNumberFormat="1" applyFont="1" applyFill="1" applyBorder="1"/>
    <x:xf numFmtId="0" fontId="0" fillId="10" borderId="5" xfId="0" applyNumberFormat="1" applyFont="1" applyFill="1" applyBorder="1"/>
    <x:xf numFmtId="0" fontId="0" fillId="10" borderId="6" xfId="0" applyNumberFormat="1" applyFont="1" applyFill="1" applyBorder="1"/>
    <x:xf numFmtId="0" fontId="0" fillId="10" borderId="7" xfId="0" applyNumberFormat="1" applyFont="1" applyFill="1" applyBorder="1"/>
    <x:xf numFmtId="0" fontId="0" fillId="10" borderId="8" xfId="0" applyNumberFormat="1" applyFont="1" applyFill="1" applyBorder="1"/>
    <x:xf numFmtId="0" fontId="0" fillId="10" borderId="9" xfId="0" applyNumberFormat="1" applyFont="1" applyFill="1" applyBorder="1"/>
    <x:xf numFmtId="0" fontId="0" fillId="10" borderId="10" xfId="0" applyNumberFormat="1" applyFont="1" applyFill="1" applyBorder="1"/>
    <x:xf numFmtId="0" fontId="0" fillId="10" borderId="11" xfId="0" applyNumberFormat="1" applyFont="1" applyFill="1" applyBorder="1"/>
    <x:xf numFmtId="0" fontId="0" fillId="10" borderId="12" xfId="0" applyNumberFormat="1" applyFont="1" applyFill="1" applyBorder="1"/>
    <x:xf numFmtId="0" fontId="0" fillId="10" borderId="13" xfId="0" applyNumberFormat="1" applyFont="1" applyFill="1" applyBorder="1"/>
    <x:xf numFmtId="0" fontId="0" fillId="10" borderId="14" xfId="0" applyNumberFormat="1" applyFont="1" applyFill="1" applyBorder="1"/>
    <x:xf numFmtId="0" fontId="0" fillId="10" borderId="15" xfId="0" applyNumberFormat="1" applyFont="1" applyFill="1" applyBorder="1"/>
    <x:xf numFmtId="0" fontId="0" fillId="10" borderId="16" xfId="0" applyNumberFormat="1" applyFont="1" applyFill="1" applyBorder="1"/>
    <x:xf numFmtId="0" fontId="0" fillId="10" borderId="17" xfId="0" applyNumberFormat="1" applyFont="1" applyFill="1" applyBorder="1"/>
    <x:xf numFmtId="0" fontId="6" fillId="9" borderId="0" xfId="0" applyNumberFormat="1" applyFont="1" applyFill="1" applyBorder="1"/>
    <x:xf numFmtId="0" fontId="6" fillId="9" borderId="1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left" wrapText="1"/>
    </x:xf>
    <x:xf numFmtId="0" fontId="6" fillId="9" borderId="1" xfId="0" applyNumberFormat="1" applyFont="1" applyFill="1" applyBorder="1" applyAlignment="1">
      <x:alignment horizontal="left" wrapText="1"/>
    </x:xf>
    <x:xf numFmtId="0" fontId="6" fillId="9" borderId="0" xfId="0" applyNumberFormat="1" applyFont="1" applyFill="1" applyBorder="1" applyAlignment="1">
      <x:alignment horizontal="left" vertical="top" wrapText="1"/>
    </x:xf>
    <x:xf numFmtId="0" fontId="6" fillId="9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 vertical="top" wrapText="1"/>
    </x:xf>
    <x:xf numFmtId="0" fontId="7" fillId="2" borderId="1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horizontal="center" vertical="top" wrapText="1"/>
    </x:xf>
    <x:xf numFmtId="0" fontId="8" fillId="0" borderId="1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5bb3294a74047" /><Relationship Type="http://schemas.openxmlformats.org/officeDocument/2006/relationships/theme" Target="/xl/theme/theme1.xml" Id="R28692a33895c439c" /><Relationship Type="http://schemas.openxmlformats.org/officeDocument/2006/relationships/sharedStrings" Target="/xl/sharedStrings.xml" Id="R237d7752d18f4a34" /><Relationship Type="http://schemas.openxmlformats.org/officeDocument/2006/relationships/worksheet" Target="/xl/worksheets/sheet1.xml" Id="Recc78ee3ee33424f" /><Relationship Type="http://schemas.openxmlformats.org/officeDocument/2006/relationships/worksheet" Target="/xl/worksheets/sheet2.xml" Id="Red29128915ab48ec" /><Relationship Type="http://schemas.openxmlformats.org/officeDocument/2006/relationships/worksheet" Target="/xl/worksheets/sheet3.xml" Id="R408a9d08284947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136c208b2b34c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赛道分布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公司数</c:v>
          </c:tx>
          <c:cat>
            <c:strRef>
              <c:f>'摘要'!$A$9:$A$13</c:f>
              <c:strCache>
                <c:ptCount val="0"/>
              </c:strCache>
            </c:strRef>
          </c:cat>
          <c:val>
            <c:numRef>
              <c:f>'摘要'!$B$9:$B$13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36c208b2b34cd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e1" displayName="Table1" ref="A1:M11" headerRowCount="1">
  <x:tableColumns count="13">
    <x:tableColumn id="1" name="序号"/>
    <x:tableColumn id="2" name="公司中文名"/>
    <x:tableColumn id="3" name="英文名/品牌"/>
    <x:tableColumn id="4" name="北京定位"/>
    <x:tableColumn id="5" name="赛道大类"/>
    <x:tableColumn id="6" name="细分赛道"/>
    <x:tableColumn id="7" name="核心业务一句话"/>
    <x:tableColumn id="8" name="北京地址/所在地"/>
    <x:tableColumn id="9" name="主要来源标题"/>
    <x:tableColumn id="10" name="主要来源链接"/>
    <x:tableColumn id="11" name="次要来源标题"/>
    <x:tableColumn id="12" name="次要来源链接"/>
    <x:tableColumn id="13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751f70487ed41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c56576ad734fd9" /></Relationships>
</file>

<file path=xl/worksheets/sheet1.xml><?xml version="1.0" encoding="utf-8"?>
<x:worksheet xmlns:x="http://schemas.openxmlformats.org/spreadsheetml/2006/main">
  <x:sheetFormatPr defaultRowHeight="15"/>
  <x:cols>
    <x:col min="1" max="1" width="23.56999969482422" hidden="0" customWidth="1"/>
    <x:col min="2" max="2" width="23.56999969482422" hidden="0" customWidth="1"/>
    <x:col min="3" max="3" width="22.139999389648438" hidden="0" customWidth="1"/>
    <x:col min="4" max="4" width="22.139999389648438" hidden="0" customWidth="1"/>
    <x:col min="5" max="5" width="22.139999389648438" hidden="0" customWidth="1"/>
    <x:col min="6" max="6" width="22.139999389648438" hidden="0" customWidth="1"/>
    <x:col min="7" max="7" width="22.139999389648438" hidden="0" customWidth="1"/>
    <x:col min="8" max="8" width="22.139999389648438" hidden="0" customWidth="1"/>
    <x:col min="9" max="9" width="22.139999389648438" hidden="0" customWidth="1"/>
    <x:col min="10" max="10" width="22.139999389648438" hidden="0" customWidth="1"/>
    <x:col min="11" max="11" width="22.139999389648438" hidden="0" customWidth="1"/>
    <x:col min="12" max="12" width="22.139999389648438" hidden="0" customWidth="1"/>
    <x:col min="13" max="13" width="19.290000915527344" hidden="0" customWidth="1"/>
  </x:cols>
  <x:sheetData>
    <x:row r="1" ht="19.5" customHeight="1">
      <x:c r="A1" s="10" t="str">
        <x:v>北京互联网大厂调研（第一版）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19.5" customHeight="1">
      <x:c r="A2" s="20" t="str">
        <x:v>研究日期：2026-04-17 | 口径：总部/主要办公地在北京、且为互联网平台/科技公司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</x:row>
    <x:row r="3" ht="19.5" customHeight="1"/>
    <x:row r="4" ht="42" customHeight="1">
      <x:c r="A4" s="30" t="str">
        <x:f>"样本公司"&amp;CHAR(10)&amp;(COUNTA('公司清单'!A:A)-1)</x:f>
        <x:v>样本公司
10</x:v>
      </x:c>
      <x:c r="B4" s="30"/>
      <x:c r="C4" s="30"/>
      <x:c r="D4" s="40" t="str">
        <x:f>"北京总部"&amp;CHAR(10)&amp;COUNTIF('公司清单'!D:D,"北京总部")</x:f>
        <x:v>北京总部
6</x:v>
      </x:c>
      <x:c r="E4" s="40"/>
      <x:c r="F4" s="40"/>
      <x:c r="G4" s="50" t="str">
        <x:f>"北京主要办公地"&amp;CHAR(10)&amp;COUNTIF('公司清单'!D:D,"北京主要办公地")</x:f>
        <x:v>北京主要办公地
4</x:v>
      </x:c>
      <x:c r="H4" s="50"/>
      <x:c r="I4" s="50"/>
      <x:c r="J4" s="60" t="str">
        <x:f>"赛道大类"&amp;CHAR(10)&amp;COUNTA(A9:A13)</x:f>
        <x:v>赛道大类
5</x:v>
      </x:c>
      <x:c r="K4" s="60"/>
      <x:c r="L4" s="60"/>
    </x:row>
    <x:row r="5" ht="42" customHeight="1">
      <x:c r="A5" s="30"/>
      <x:c r="B5" s="30"/>
      <x:c r="C5" s="30"/>
      <x:c r="D5" s="40"/>
      <x:c r="E5" s="40"/>
      <x:c r="F5" s="40"/>
      <x:c r="G5" s="50"/>
      <x:c r="H5" s="50"/>
      <x:c r="I5" s="50"/>
      <x:c r="J5" s="60"/>
      <x:c r="K5" s="60"/>
      <x:c r="L5" s="60"/>
    </x:row>
    <x:row r="6" ht="42" customHeight="1">
      <x:c r="A6" s="30"/>
      <x:c r="B6" s="30"/>
      <x:c r="C6" s="30"/>
      <x:c r="D6" s="40"/>
      <x:c r="E6" s="40"/>
      <x:c r="F6" s="40"/>
      <x:c r="G6" s="50"/>
      <x:c r="H6" s="50"/>
      <x:c r="I6" s="50"/>
      <x:c r="J6" s="60"/>
      <x:c r="K6" s="60"/>
      <x:c r="L6" s="60"/>
    </x:row>
    <x:row r="7" ht="19.5" customHeight="1"/>
    <x:row r="8" ht="21" customHeight="1">
      <x:c r="A8" s="70" t="str">
        <x:v>赛道大类</x:v>
      </x:c>
      <x:c r="B8" s="70" t="str">
        <x:v>公司数</x:v>
      </x:c>
      <x:c r="D8" s="86"/>
      <x:c r="E8" s="87"/>
      <x:c r="F8" s="87"/>
      <x:c r="G8" s="87"/>
      <x:c r="H8" s="87"/>
      <x:c r="I8" s="87"/>
      <x:c r="J8" s="87"/>
      <x:c r="K8" s="87"/>
      <x:c r="L8" s="88"/>
    </x:row>
    <x:row r="9" ht="21" customHeight="1">
      <x:c r="A9" s="74" t="str">
        <x:v>内容平台/社区</x:v>
      </x:c>
      <x:c r="B9" s="72" t="n">
        <x:f>COUNTIF('公司清单'!$E:$E,A9)</x:f>
        <x:v>4</x:v>
      </x:c>
      <x:c r="D9" s="89"/>
      <x:c r="E9" s="84"/>
      <x:c r="F9" s="84"/>
      <x:c r="G9" s="84"/>
      <x:c r="H9" s="84"/>
      <x:c r="I9" s="84"/>
      <x:c r="J9" s="84"/>
      <x:c r="K9" s="84"/>
      <x:c r="L9" s="90"/>
    </x:row>
    <x:row r="10" ht="21" customHeight="1">
      <x:c r="A10" s="74" t="str">
        <x:v>交易/本地生活/出行</x:v>
      </x:c>
      <x:c r="B10" s="72" t="n">
        <x:f>COUNTIF('公司清单'!$E:$E,A10)</x:f>
        <x:v>3</x:v>
      </x:c>
      <x:c r="D10" s="89"/>
      <x:c r="E10" s="84"/>
      <x:c r="F10" s="84"/>
      <x:c r="G10" s="84"/>
      <x:c r="H10" s="84"/>
      <x:c r="I10" s="84"/>
      <x:c r="J10" s="84"/>
      <x:c r="K10" s="84"/>
      <x:c r="L10" s="90"/>
    </x:row>
    <x:row r="11" ht="21" customHeight="1">
      <x:c r="A11" s="74" t="str">
        <x:v>消费电子/IoT</x:v>
      </x:c>
      <x:c r="B11" s="72" t="n">
        <x:f>COUNTIF('公司清单'!$E:$E,A11)</x:f>
        <x:v>1</x:v>
      </x:c>
      <x:c r="D11" s="89"/>
      <x:c r="E11" s="84"/>
      <x:c r="F11" s="84"/>
      <x:c r="G11" s="84"/>
      <x:c r="H11" s="84"/>
      <x:c r="I11" s="84"/>
      <x:c r="J11" s="84"/>
      <x:c r="K11" s="84"/>
      <x:c r="L11" s="90"/>
    </x:row>
    <x:row r="12" ht="21" customHeight="1">
      <x:c r="A12" s="74" t="str">
        <x:v>搜索/AI/基础技术</x:v>
      </x:c>
      <x:c r="B12" s="72" t="n">
        <x:f>COUNTIF('公司清单'!$E:$E,A12)</x:f>
        <x:v>1</x:v>
      </x:c>
      <x:c r="D12" s="89"/>
      <x:c r="E12" s="84"/>
      <x:c r="F12" s="84"/>
      <x:c r="G12" s="84"/>
      <x:c r="H12" s="84"/>
      <x:c r="I12" s="84"/>
      <x:c r="J12" s="84"/>
      <x:c r="K12" s="84"/>
      <x:c r="L12" s="90"/>
    </x:row>
    <x:row r="13" ht="21" customHeight="1">
      <x:c r="A13" s="74" t="str">
        <x:v>安全/企业安全</x:v>
      </x:c>
      <x:c r="B13" s="72" t="n">
        <x:f>COUNTIF('公司清单'!$E:$E,A13)</x:f>
        <x:v>1</x:v>
      </x:c>
      <x:c r="D13" s="89"/>
      <x:c r="E13" s="84"/>
      <x:c r="F13" s="84"/>
      <x:c r="G13" s="84"/>
      <x:c r="H13" s="84"/>
      <x:c r="I13" s="84"/>
      <x:c r="J13" s="84"/>
      <x:c r="K13" s="84"/>
      <x:c r="L13" s="90"/>
    </x:row>
    <x:row r="14" ht="21" customHeight="1">
      <x:c r="A14" s="82" t="str">
        <x:v>总计</x:v>
      </x:c>
      <x:c r="B14" s="82" t="n">
        <x:f>SUM(B9:B13)</x:f>
        <x:v>10</x:v>
      </x:c>
      <x:c r="D14" s="89"/>
      <x:c r="E14" s="84"/>
      <x:c r="F14" s="84"/>
      <x:c r="G14" s="84"/>
      <x:c r="H14" s="84"/>
      <x:c r="I14" s="84"/>
      <x:c r="J14" s="84"/>
      <x:c r="K14" s="84"/>
      <x:c r="L14" s="90"/>
    </x:row>
    <x:row r="15" ht="19.5" customHeight="1">
      <x:c r="D15" s="89"/>
      <x:c r="E15" s="84"/>
      <x:c r="F15" s="84"/>
      <x:c r="G15" s="84"/>
      <x:c r="H15" s="84"/>
      <x:c r="I15" s="84"/>
      <x:c r="J15" s="84"/>
      <x:c r="K15" s="84"/>
      <x:c r="L15" s="90"/>
    </x:row>
    <x:row r="16" ht="19.5" customHeight="1">
      <x:c r="D16" s="89"/>
      <x:c r="E16" s="84"/>
      <x:c r="F16" s="84"/>
      <x:c r="G16" s="84"/>
      <x:c r="H16" s="84"/>
      <x:c r="I16" s="84"/>
      <x:c r="J16" s="84"/>
      <x:c r="K16" s="84"/>
      <x:c r="L16" s="90"/>
    </x:row>
    <x:row r="17" ht="19.5" customHeight="1">
      <x:c r="D17" s="89"/>
      <x:c r="E17" s="84"/>
      <x:c r="F17" s="84"/>
      <x:c r="G17" s="84"/>
      <x:c r="H17" s="84"/>
      <x:c r="I17" s="84"/>
      <x:c r="J17" s="84"/>
      <x:c r="K17" s="84"/>
      <x:c r="L17" s="90"/>
    </x:row>
    <x:row r="18" ht="19.5" customHeight="1">
      <x:c r="D18" s="89"/>
      <x:c r="E18" s="84"/>
      <x:c r="F18" s="84"/>
      <x:c r="G18" s="84"/>
      <x:c r="H18" s="84"/>
      <x:c r="I18" s="84"/>
      <x:c r="J18" s="84"/>
      <x:c r="K18" s="84"/>
      <x:c r="L18" s="90"/>
    </x:row>
    <x:row r="19" ht="19.5" customHeight="1">
      <x:c r="D19" s="89"/>
      <x:c r="E19" s="84"/>
      <x:c r="F19" s="84"/>
      <x:c r="G19" s="84"/>
      <x:c r="H19" s="84"/>
      <x:c r="I19" s="84"/>
      <x:c r="J19" s="84"/>
      <x:c r="K19" s="84"/>
      <x:c r="L19" s="90"/>
    </x:row>
    <x:row r="20" ht="19.5" customHeight="1">
      <x:c r="D20" s="91"/>
      <x:c r="E20" s="92"/>
      <x:c r="F20" s="92"/>
      <x:c r="G20" s="92"/>
      <x:c r="H20" s="92"/>
      <x:c r="I20" s="92"/>
      <x:c r="J20" s="92"/>
      <x:c r="K20" s="92"/>
      <x:c r="L20" s="93"/>
    </x:row>
    <x:row r="22" ht="27" customHeight="1">
      <x:c r="A22" s="108" t="str">
        <x:v>说明：北京定位区分“北京总部”和“北京主要办公地”；后者仅表示官方页披露北京 principal office / office address。</x:v>
      </x:c>
      <x:c r="B22" s="108"/>
      <x:c r="C22" s="108"/>
      <x:c r="D22" s="108"/>
      <x:c r="E22" s="108"/>
      <x:c r="F22" s="108"/>
      <x:c r="G22" s="108"/>
      <x:c r="H22" s="108"/>
      <x:c r="I22" s="108"/>
      <x:c r="J22" s="108"/>
      <x:c r="K22" s="108"/>
      <x:c r="L22" s="108"/>
      <x:c r="M22" s="108"/>
    </x:row>
    <x:row r="23" ht="27" customHeight="1">
      <x:c r="A23" s="108"/>
      <x:c r="B23" s="108"/>
      <x:c r="C23" s="108"/>
      <x:c r="D23" s="108"/>
      <x:c r="E23" s="108"/>
      <x:c r="F23" s="108"/>
      <x:c r="G23" s="108"/>
      <x:c r="H23" s="108"/>
      <x:c r="I23" s="108"/>
      <x:c r="J23" s="108"/>
      <x:c r="K23" s="108"/>
      <x:c r="L23" s="108"/>
      <x:c r="M23" s="108"/>
    </x:row>
  </x:sheetData>
  <x:mergeCells>
    <x:mergeCell ref="A1:M1"/>
    <x:mergeCell ref="A2:M2"/>
    <x:mergeCell ref="A4:C6"/>
    <x:mergeCell ref="D4:F6"/>
    <x:mergeCell ref="G4:I6"/>
    <x:mergeCell ref="J4:L6"/>
    <x:mergeCell ref="A22:M23"/>
  </x:mergeCells>
  <x:pageMargins left="0.7" right="0.7" top="0.75" bottom="0.75" header="0.3" footer="0.3"/>
  <x:drawing xmlns:r="http://schemas.openxmlformats.org/officeDocument/2006/relationships" r:id="R5751f70487ed41d2"/>
</x:worksheet>
</file>

<file path=xl/worksheets/sheet2.xml><?xml version="1.0" encoding="utf-8"?>
<x:worksheet xmlns:x="http://schemas.openxmlformats.org/spreadsheetml/2006/main">
  <x:sheetFormatPr defaultRowHeight="15"/>
  <x:cols>
    <x:col min="1" max="1" width="6.139999866485596" hidden="0" customWidth="1"/>
    <x:col min="2" max="2" width="11.569999694824219" hidden="0" customWidth="1"/>
    <x:col min="3" max="3" width="16.709999084472656" hidden="0" customWidth="1"/>
    <x:col min="4" max="4" width="15.289999961853027" hidden="0" customWidth="1"/>
    <x:col min="5" max="5" width="17" hidden="0" customWidth="1"/>
    <x:col min="6" max="6" width="19.56999969482422" hidden="0" customWidth="1"/>
    <x:col min="7" max="7" width="39.290000915527344" hidden="0" customWidth="1"/>
    <x:col min="8" max="8" width="35" hidden="0" customWidth="1"/>
    <x:col min="9" max="9" width="22.139999389648438" hidden="0" customWidth="1"/>
    <x:col min="10" max="10" width="36.43000030517578" hidden="0" customWidth="1"/>
    <x:col min="11" max="11" width="22.139999389648438" hidden="0" customWidth="1"/>
    <x:col min="12" max="12" width="36.43000030517578" hidden="0" customWidth="1"/>
    <x:col min="13" max="13" width="25" hidden="0" customWidth="1"/>
  </x:cols>
  <x:sheetData>
    <x:row r="1" ht="27" customHeight="1">
      <x:c r="A1" s="118" t="str">
        <x:v>序号</x:v>
      </x:c>
      <x:c r="B1" s="118" t="str">
        <x:v>公司中文名</x:v>
      </x:c>
      <x:c r="C1" s="118" t="str">
        <x:v>英文名/品牌</x:v>
      </x:c>
      <x:c r="D1" s="118" t="str">
        <x:v>北京定位</x:v>
      </x:c>
      <x:c r="E1" s="118" t="str">
        <x:v>赛道大类</x:v>
      </x:c>
      <x:c r="F1" s="118" t="str">
        <x:v>细分赛道</x:v>
      </x:c>
      <x:c r="G1" s="118" t="str">
        <x:v>核心业务一句话</x:v>
      </x:c>
      <x:c r="H1" s="118" t="str">
        <x:v>北京地址/所在地</x:v>
      </x:c>
      <x:c r="I1" s="118" t="str">
        <x:v>主要来源标题</x:v>
      </x:c>
      <x:c r="J1" s="118" t="str">
        <x:v>主要来源链接</x:v>
      </x:c>
      <x:c r="K1" s="118" t="str">
        <x:v>次要来源标题</x:v>
      </x:c>
      <x:c r="L1" s="118" t="str">
        <x:v>次要来源链接</x:v>
      </x:c>
      <x:c r="M1" s="118" t="str">
        <x:v>备注</x:v>
      </x:c>
    </x:row>
    <x:row r="2" ht="51" customHeight="1">
      <x:c r="A2" s="122" t="n">
        <x:v>1</x:v>
      </x:c>
      <x:c r="B2" s="120" t="str">
        <x:v>百度</x:v>
      </x:c>
      <x:c r="C2" s="120" t="str">
        <x:v>Baidu</x:v>
      </x:c>
      <x:c r="D2" s="122" t="str">
        <x:v>北京总部</x:v>
      </x:c>
      <x:c r="E2" s="122" t="str">
        <x:v>搜索/AI/基础技术</x:v>
      </x:c>
      <x:c r="F2" s="122" t="str">
        <x:v>搜索引擎 / AI / 智能驾驶</x:v>
      </x:c>
      <x:c r="G2" s="120" t="str">
        <x:v>领先的中文互联网搜索与AI公司，业务覆盖搜索、云服务、智能驾驶和大模型等方向。</x:v>
      </x:c>
      <x:c r="H2" s="120" t="str">
        <x:v>北京市海淀区上地十街10号百度大厦；北京市海淀区西北旺东路10号院百度科技园</x:v>
      </x:c>
      <x:c r="I2" s="120" t="str">
        <x:v>联系我们 | 百度</x:v>
      </x:c>
      <x:c r="J2" s="120" t="str">
        <x:v>https://home.baidu.com/contact.html</x:v>
      </x:c>
      <x:c r="K2" s="120" t="str">
        <x:v>Investor FAQs | Baidu Inc</x:v>
      </x:c>
      <x:c r="L2" s="120" t="str">
        <x:v>https://ir.baidu.com/shareholder-services/investor-faqs/</x:v>
      </x:c>
      <x:c r="M2" s="120" t="str">
        <x:v>官方页面明确显示北京地址与总部信息。</x:v>
      </x:c>
    </x:row>
    <x:row r="3" ht="51" customHeight="1">
      <x:c r="A3" s="122" t="n">
        <x:v>2</x:v>
      </x:c>
      <x:c r="B3" s="120" t="str">
        <x:v>京东</x:v>
      </x:c>
      <x:c r="C3" s="120" t="str">
        <x:v>JD.com</x:v>
      </x:c>
      <x:c r="D3" s="122" t="str">
        <x:v>北京总部</x:v>
      </x:c>
      <x:c r="E3" s="122" t="str">
        <x:v>交易/本地生活/出行</x:v>
      </x:c>
      <x:c r="F3" s="122" t="str">
        <x:v>电商 / 供应链科技</x:v>
      </x:c>
      <x:c r="G3" s="120" t="str">
        <x:v>以供应链为核心的技术与服务企业，业务覆盖零售、物流、健康、工业、国际业务等。</x:v>
      </x:c>
      <x:c r="H3" s="120" t="str">
        <x:v>JD Building, No. 18 Kechuang 11 Street, BDA, Beijing, The People's Republic of China, 101111</x:v>
      </x:c>
      <x:c r="I3" s="120" t="str">
        <x:v>Contact Us | JD.com, Inc.</x:v>
      </x:c>
      <x:c r="J3" s="120" t="str">
        <x:v>https://corporate.jd.com/contactUs</x:v>
      </x:c>
      <x:c r="K3" s="120" t="str">
        <x:v>About JD.com | JD.Com, Inc.</x:v>
      </x:c>
      <x:c r="L3" s="120" t="str">
        <x:v>https://ir.jd.com/about-JD</x:v>
      </x:c>
      <x:c r="M3" s="120" t="str">
        <x:v>官方联系页直接披露总部地址。</x:v>
      </x:c>
    </x:row>
    <x:row r="4" ht="51" customHeight="1">
      <x:c r="A4" s="122" t="n">
        <x:v>3</x:v>
      </x:c>
      <x:c r="B4" s="120" t="str">
        <x:v>美团</x:v>
      </x:c>
      <x:c r="C4" s="120" t="str">
        <x:v>Meituan</x:v>
      </x:c>
      <x:c r="D4" s="122" t="str">
        <x:v>北京总部</x:v>
      </x:c>
      <x:c r="E4" s="122" t="str">
        <x:v>交易/本地生活/出行</x:v>
      </x:c>
      <x:c r="F4" s="122" t="str">
        <x:v>本地生活 / 零售科技</x:v>
      </x:c>
      <x:c r="G4" s="120" t="str">
        <x:v>以“零售 + 科技”为战略的科技零售公司，覆盖外卖、到店、酒旅、即时零售等业务。</x:v>
      </x:c>
      <x:c r="H4" s="120" t="str">
        <x:v>北京市朝阳区望京东路4号恒基伟业大厦C座2层（公开隐私联系地址）</x:v>
      </x:c>
      <x:c r="I4" s="120" t="str">
        <x:v>美团 - 帮大家吃得更好，生活更好</x:v>
      </x:c>
      <x:c r="J4" s="120" t="str">
        <x:v>https://www.meituan.com/</x:v>
      </x:c>
      <x:c r="K4" s="120" t="str">
        <x:v>美团隐私政策</x:v>
      </x:c>
      <x:c r="L4" s="120" t="str">
        <x:v>https://rules-center.meituan.com/v1/mss_7482cc6672ce4e76a32d7d7c3161ac24/rules-center/bce22151-92cd-4f9c-bf52-6c96168b1938-2632250/%E7%BE%8E%E5%9B%A2%E9%9A%90%E7%A7%81%E6%94%BF%E7%AD%96-2022%E5%B9%B43%E6%9C%88%E7%89%88%E6%9C%AC.pdf?openInApp=2</x:v>
      </x:c>
      <x:c r="M4" s="120" t="str">
        <x:v>地址来自公开隐私政策中的联系信息，适合作为北京办公/联系地址使用。</x:v>
      </x:c>
    </x:row>
    <x:row r="5" ht="51" customHeight="1">
      <x:c r="A5" s="122" t="n">
        <x:v>4</x:v>
      </x:c>
      <x:c r="B5" s="120" t="str">
        <x:v>滴滴</x:v>
      </x:c>
      <x:c r="C5" s="120" t="str">
        <x:v>DiDi Global Inc.</x:v>
      </x:c>
      <x:c r="D5" s="122" t="str">
        <x:v>北京主要办公地</x:v>
      </x:c>
      <x:c r="E5" s="122" t="str">
        <x:v>交易/本地生活/出行</x:v>
      </x:c>
      <x:c r="F5" s="122" t="str">
        <x:v>出行 / 交通平台</x:v>
      </x:c>
      <x:c r="G5" s="120" t="str">
        <x:v>全球化移动出行平台，核心业务围绕网约车、顺风车、代驾、两轮出行等展开。</x:v>
      </x:c>
      <x:c r="H5" s="120" t="str">
        <x:v>DiDi Xinchenghai, Building 1, Yard 6, North Ring Road, Tangjialing, Haidian District, Beijing, People's Republic of China</x:v>
      </x:c>
      <x:c r="I5" s="120" t="str">
        <x:v>DiDi Global Inc. - Investor Contacts</x:v>
      </x:c>
      <x:c r="J5" s="120" t="str">
        <x:v>https://ir.didiglobal.com/faqs-and-resources/investor-contacts/default.aspx</x:v>
      </x:c>
      <x:c r="K5" s="120" t="str">
        <x:v>DiDi Global Inc. - 20-F</x:v>
      </x:c>
      <x:c r="L5" s="120" t="str">
        <x:v>https://ir.didiglobal.com/sec-filings/sec-filing/20-f/0001104659-25-047255</x:v>
      </x:c>
      <x:c r="M5" s="120" t="str">
        <x:v>官方投资者页面披露 principal office 地址。</x:v>
      </x:c>
    </x:row>
    <x:row r="6" ht="51" customHeight="1">
      <x:c r="A6" s="122" t="n">
        <x:v>5</x:v>
      </x:c>
      <x:c r="B6" s="120" t="str">
        <x:v>字节跳动</x:v>
      </x:c>
      <x:c r="C6" s="120" t="str">
        <x:v>ByteDance</x:v>
      </x:c>
      <x:c r="D6" s="122" t="str">
        <x:v>北京主要办公地</x:v>
      </x:c>
      <x:c r="E6" s="122" t="str">
        <x:v>内容平台/社区</x:v>
      </x:c>
      <x:c r="F6" s="122" t="str">
        <x:v>短视频 / 内容平台 / AI</x:v>
      </x:c>
      <x:c r="G6" s="120" t="str">
        <x:v>全球化内容与平台公司，产品覆盖抖音、TikTok、飞书、豆包、剪映等内容与效率工具。</x:v>
      </x:c>
      <x:c r="H6" s="120" t="str">
        <x:v>Building 1, Dazhongsi Square, ByteDance, Beijing, China</x:v>
      </x:c>
      <x:c r="I6" s="120" t="str">
        <x:v>ByteDance - Inspire Creativity, Enrich Life</x:v>
      </x:c>
      <x:c r="J6" s="120" t="str">
        <x:v>https://www.bytedance.com/en/</x:v>
      </x:c>
      <x:c r="K6" s="120" t="str">
        <x:v>ByteDance SE Lab</x:v>
      </x:c>
      <x:c r="L6" s="120" t="str">
        <x:v>https://se-research.bytedance.com/index.html</x:v>
      </x:c>
      <x:c r="M6" s="120" t="str">
        <x:v>官方站点未在首页明确写总部，但官方北京地址与北京研发组织可核验。</x:v>
      </x:c>
    </x:row>
    <x:row r="7" ht="51" customHeight="1">
      <x:c r="A7" s="122" t="n">
        <x:v>6</x:v>
      </x:c>
      <x:c r="B7" s="120" t="str">
        <x:v>快手</x:v>
      </x:c>
      <x:c r="C7" s="120" t="str">
        <x:v>Kuaishou Technology</x:v>
      </x:c>
      <x:c r="D7" s="122" t="str">
        <x:v>北京总部</x:v>
      </x:c>
      <x:c r="E7" s="122" t="str">
        <x:v>内容平台/社区</x:v>
      </x:c>
      <x:c r="F7" s="122" t="str">
        <x:v>短视频 / 直播 / 电商</x:v>
      </x:c>
      <x:c r="G7" s="120" t="str">
        <x:v>领先的内容社区与社交平台，围绕短视频、直播和电商生态构建业务。</x:v>
      </x:c>
      <x:c r="H7" s="120" t="str">
        <x:v>6, Shangdi West Road, Haidian District, Beijing, the PRC</x:v>
      </x:c>
      <x:c r="I7" s="120" t="str">
        <x:v>Investor Relations | Kuaishou Technology</x:v>
      </x:c>
      <x:c r="J7" s="120" t="str">
        <x:v>https://ir.kuaishou.com/</x:v>
      </x:c>
      <x:c r="K7" s="120" t="str">
        <x:v>Kuaishou Technology Annual Report 2024</x:v>
      </x:c>
      <x:c r="L7" s="120" t="str">
        <x:v>https://ir.kuaishou.com/system/files-encrypted/nasdaq_kms/assets/2025/04/25/19-09-37/Annual%20report%202024_EN.pdf</x:v>
      </x:c>
      <x:c r="M7" s="120" t="str">
        <x:v>年报明确披露 Head Office and Principal Place of Business in the PRC。</x:v>
      </x:c>
    </x:row>
    <x:row r="8" ht="51" customHeight="1">
      <x:c r="A8" s="122" t="n">
        <x:v>7</x:v>
      </x:c>
      <x:c r="B8" s="120" t="str">
        <x:v>知乎</x:v>
      </x:c>
      <x:c r="C8" s="120" t="str">
        <x:v>Zhihu Inc.</x:v>
      </x:c>
      <x:c r="D8" s="122" t="str">
        <x:v>北京总部</x:v>
      </x:c>
      <x:c r="E8" s="122" t="str">
        <x:v>内容平台/社区</x:v>
      </x:c>
      <x:c r="F8" s="122" t="str">
        <x:v>知识社区 / 内容平台</x:v>
      </x:c>
      <x:c r="G8" s="120" t="str">
        <x:v>领先的在线内容社区，围绕问答、会员、搜索、热榜和多元内容形式展开。</x:v>
      </x:c>
      <x:c r="H8" s="120" t="str">
        <x:v>NO. 18 Xueqing Road, Haidian District, Beijing 100083, China</x:v>
      </x:c>
      <x:c r="I8" s="120" t="str">
        <x:v>Investor Resources | Zhihu</x:v>
      </x:c>
      <x:c r="J8" s="120" t="str">
        <x:v>https://ir.zhihu.com/en/investor-resources/</x:v>
      </x:c>
      <x:c r="K8" s="120" t="str">
        <x:v>联系我们 - 知乎</x:v>
      </x:c>
      <x:c r="L8" s="120" t="str">
        <x:v>https://www.zhihu.com/contact</x:v>
      </x:c>
      <x:c r="M8" s="120" t="str">
        <x:v>投资者关系页面直接披露公司总部地址。</x:v>
      </x:c>
    </x:row>
    <x:row r="9" ht="51" customHeight="1">
      <x:c r="A9" s="122" t="n">
        <x:v>8</x:v>
      </x:c>
      <x:c r="B9" s="120" t="str">
        <x:v>爱奇艺</x:v>
      </x:c>
      <x:c r="C9" s="120" t="str">
        <x:v>iQIYI, Inc.</x:v>
      </x:c>
      <x:c r="D9" s="122" t="str">
        <x:v>北京主要办公地</x:v>
      </x:c>
      <x:c r="E9" s="122" t="str">
        <x:v>内容平台/社区</x:v>
      </x:c>
      <x:c r="F9" s="122" t="str">
        <x:v>长视频 / 在线娱乐</x:v>
      </x:c>
      <x:c r="G9" s="120" t="str">
        <x:v>中国领先的线上娱乐视频服务商，核心业务为长视频内容与会员服务。</x:v>
      </x:c>
      <x:c r="H9" s="120" t="str">
        <x:v>21, North Road of Workers’ Stadium, Chaoyang District, Beijing 100027, People's Republic of China</x:v>
      </x:c>
      <x:c r="I9" s="120" t="str">
        <x:v>Company Overview | iQIYI, Inc.</x:v>
      </x:c>
      <x:c r="J9" s="120" t="str">
        <x:v>https://ir.iqiyi.com/corporate-profile</x:v>
      </x:c>
      <x:c r="K9" s="120" t="str">
        <x:v>iQIYI Files Its Annual Report on Form 20-F</x:v>
      </x:c>
      <x:c r="L9" s="120" t="str">
        <x:v>https://ir.iqiyi.com/node/9666/pdf</x:v>
      </x:c>
      <x:c r="M9" s="120" t="str">
        <x:v>年报和公司资料均披露北京办公地址。</x:v>
      </x:c>
    </x:row>
    <x:row r="10" ht="51" customHeight="1">
      <x:c r="A10" s="122" t="n">
        <x:v>9</x:v>
      </x:c>
      <x:c r="B10" s="120" t="str">
        <x:v>小米</x:v>
      </x:c>
      <x:c r="C10" s="120" t="str">
        <x:v>Xiaomi Corporation</x:v>
      </x:c>
      <x:c r="D10" s="122" t="str">
        <x:v>北京总部</x:v>
      </x:c>
      <x:c r="E10" s="122" t="str">
        <x:v>消费电子/IoT</x:v>
      </x:c>
      <x:c r="F10" s="122" t="str">
        <x:v>智能硬件 / 互联网生态</x:v>
      </x:c>
      <x:c r="G10" s="120" t="str">
        <x:v>以智能手机和智能硬件为核心、连接 IoT 平台的消费电子与智能制造公司。</x:v>
      </x:c>
      <x:c r="H10" s="120" t="str">
        <x:v>Xiaomi Campus, Anningzhuang Road, Haidian District, Beijing</x:v>
      </x:c>
      <x:c r="I10" s="120" t="str">
        <x:v>IR Contacts | Xiaomi Corporation</x:v>
      </x:c>
      <x:c r="J10" s="120" t="str">
        <x:v>https://ir.mi.com/investor-resources/ir-contacts/</x:v>
      </x:c>
      <x:c r="K10" s="120" t="str">
        <x:v>Xiaomi United States - About Us</x:v>
      </x:c>
      <x:c r="L10" s="120" t="str">
        <x:v>https://www.mi.com/us/about/</x:v>
      </x:c>
      <x:c r="M10" s="120" t="str">
        <x:v>官方投资者联系页披露北京园区地址。</x:v>
      </x:c>
    </x:row>
    <x:row r="11" ht="51" customHeight="1">
      <x:c r="A11" s="122" t="n">
        <x:v>10</x:v>
      </x:c>
      <x:c r="B11" s="120" t="str">
        <x:v>360</x:v>
      </x:c>
      <x:c r="C11" s="120" t="str">
        <x:v>Qihoo 360 / 360 Security Center</x:v>
      </x:c>
      <x:c r="D11" s="122" t="str">
        <x:v>北京主要办公地</x:v>
      </x:c>
      <x:c r="E11" s="122" t="str">
        <x:v>安全/企业安全</x:v>
      </x:c>
      <x:c r="F11" s="122" t="str">
        <x:v>网络安全 / 安全服务</x:v>
      </x:c>
      <x:c r="G11" s="120" t="str">
        <x:v>中国领先的互联网安全服务提供商，业务覆盖安全产品、安全大脑和政企安全。</x:v>
      </x:c>
      <x:c r="H11" s="120" t="str">
        <x:v>北京市朝阳区酒仙桥路6号院电子城国际电子总部</x:v>
      </x:c>
      <x:c r="I11" s="120" t="str">
        <x:v>About Qihoo 360_360Safe Center</x:v>
      </x:c>
      <x:c r="J11" s="120" t="str">
        <x:v>https://www.360.cn/about/index_eng.html</x:v>
      </x:c>
      <x:c r="K11" s="120" t="str">
        <x:v>联系我们</x:v>
      </x:c>
      <x:c r="L11" s="120" t="str">
        <x:v>https://www.360.cn/about/contactus.html</x:v>
      </x:c>
      <x:c r="M11" s="120" t="str">
        <x:v>官方页面更偏向产品与联系信息，地址字段按公开联系信息填写。</x:v>
      </x:c>
    </x:row>
  </x:sheetData>
  <x:pageMargins left="0.7" right="0.7" top="0.75" bottom="0.75" header="0.3" footer="0.3"/>
  <x:tableParts count="1">
    <x:tablePart xmlns:r="http://schemas.openxmlformats.org/officeDocument/2006/relationships" r:id="R55c56576ad734f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7.86000061035156" hidden="0" customWidth="1"/>
  </x:cols>
  <x:sheetData>
    <x:row r="1">
      <x:c r="A1" s="128" t="str">
        <x:v>口径说明</x:v>
      </x:c>
      <x:c r="B1" s="128"/>
      <x:c r="C1" s="128"/>
      <x:c r="D1" s="128"/>
      <x:c r="E1" s="128"/>
      <x:c r="F1" s="128"/>
      <x:c r="G1" s="128"/>
      <x:c r="H1" s="128"/>
    </x:row>
    <x:row r="3" ht="31.5" customHeight="1">
      <x:c r="A3" s="136" t="str">
        <x:v>研究日期</x:v>
      </x:c>
      <x:c r="B3" s="110" t="str">
        <x:v>2026-04-17</x:v>
      </x:c>
    </x:row>
    <x:row r="4" ht="31.5" customHeight="1">
      <x:c r="A4" s="136" t="str">
        <x:v>样本范围</x:v>
      </x:c>
      <x:c r="B4" s="110" t="str">
        <x:v>优先选取总部或主要办公地在北京、且为互联网平台/科技领域具有代表性的公司。</x:v>
      </x:c>
    </x:row>
    <x:row r="5" ht="31.5" customHeight="1">
      <x:c r="A5" s="136" t="str">
        <x:v>北京定位</x:v>
      </x:c>
      <x:c r="B5" s="110" t="str">
        <x:v>“北京总部”表示官方页面明确写明总部/主办公地址在北京；“北京主要办公地”表示公开信息明确披露北京 principal office 或办公地址，但未在本表进一步强行等同法定总部。</x:v>
      </x:c>
    </x:row>
    <x:row r="6" ht="31.5" customHeight="1">
      <x:c r="A6" s="136" t="str">
        <x:v>地址口径</x:v>
      </x:c>
      <x:c r="B6" s="110" t="str">
        <x:v>优先使用官网、投资者关系页、年报、隐私政策、联系页等官方页面披露的北京地址。</x:v>
      </x:c>
    </x:row>
    <x:row r="7" ht="31.5" customHeight="1">
      <x:c r="A7" s="136" t="str">
        <x:v>来源口径</x:v>
      </x:c>
      <x:c r="B7" s="110" t="str">
        <x:v>每家公司保留两条最相关的官方来源，便于后续追溯与补充。</x:v>
      </x:c>
    </x:row>
  </x:sheetData>
  <x:mergeCells>
    <x:mergeCell ref="A1:H1"/>
  </x:mergeCells>
  <x:pageMargins left="0.7" right="0.7" top="0.75" bottom="0.75" header="0.3" footer="0.3"/>
</x:worksheet>
</file>